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5.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<sst xmlns="http://schemas.openxmlformats.org/spreadsheetml/2006/main" count="70" uniqueCount="60">
  <si>
    <t xml:space="preserve">Оценка за задания (из 10)</t>
  </si>
  <si>
    <t xml:space="preserve">Балы</t>
  </si>
  <si>
    <t xml:space="preserve">Пропуски (из 15)</t>
  </si>
  <si>
    <t xml:space="preserve">Доклады</t>
  </si>
  <si>
    <t xml:space="preserve">Посещаемость (10)</t>
  </si>
  <si>
    <t xml:space="preserve">Активность (10)</t>
  </si>
  <si>
    <t xml:space="preserve">Доклады (10)</t>
  </si>
  <si>
    <t xml:space="preserve">Отчет (30)</t>
  </si>
  <si>
    <t xml:space="preserve">Зачет (40)</t>
  </si>
  <si>
    <t xml:space="preserve">Всего (100)</t>
  </si>
  <si>
    <t xml:space="preserve">Вашурин</t>
  </si>
  <si>
    <t xml:space="preserve">Жучков</t>
  </si>
  <si>
    <t xml:space="preserve">Земцева</t>
  </si>
  <si>
    <t xml:space="preserve">Иванушкин</t>
  </si>
  <si>
    <t xml:space="preserve">Ильина</t>
  </si>
  <si>
    <t xml:space="preserve">Каюмова</t>
  </si>
  <si>
    <t xml:space="preserve">Кокорина</t>
  </si>
  <si>
    <t xml:space="preserve">Малбаева</t>
  </si>
  <si>
    <t xml:space="preserve">Мубаракшин</t>
  </si>
  <si>
    <t xml:space="preserve">Нигматуллин</t>
  </si>
  <si>
    <t xml:space="preserve">Рахматуллина</t>
  </si>
  <si>
    <t xml:space="preserve">Романов</t>
  </si>
  <si>
    <t xml:space="preserve">Замечания по заданиям</t>
  </si>
  <si>
    <t xml:space="preserve">2 – вывод об отчётливости влияния поправки на изолинии неочевиден, нет выводов по п.4,5</t>
  </si>
  <si>
    <t xml:space="preserve">8 – не указан момент времени и размерности сеток для 2Д</t>
  </si>
  <si>
    <t xml:space="preserve">9 – результат в повышении осцилляций при применении полной диффузии сомнителен</t>
  </si>
  <si>
    <t xml:space="preserve">3- странно, что лог особенность не дала улучшений. Вроде должна</t>
  </si>
  <si>
    <t xml:space="preserve">10 – Какая-то косметическая разница должна быть в п.3</t>
  </si>
  <si>
    <t xml:space="preserve">2 – нет периодических условий</t>
  </si>
  <si>
    <t xml:space="preserve">3- нет п.5</t>
  </si>
  <si>
    <t xml:space="preserve">6 – поподробнее бы о методах ускорения</t>
  </si>
  <si>
    <t xml:space="preserve">7 – нет решения для CN/Central</t>
  </si>
  <si>
    <t xml:space="preserve">8 – график 8.1 непонятен.</t>
  </si>
  <si>
    <t xml:space="preserve">9 – не рассмотрен случай оптимального k</t>
  </si>
  <si>
    <t xml:space="preserve">   – нет п.5</t>
  </si>
  <si>
    <t xml:space="preserve">1 – нет коментариев. Графики не на одном рисунке. Тики по x/y не одинаковы</t>
  </si>
  <si>
    <t xml:space="preserve">2 – тики, нет выводу по п.5</t>
  </si>
  <si>
    <t xml:space="preserve">3 – тики, нет комментариев.</t>
  </si>
  <si>
    <t xml:space="preserve">4 – тики, нет выводов по п.4</t>
  </si>
  <si>
    <t xml:space="preserve">5 – тики, нет комментариев. Непонятно, почему у кубических и квадтратичных одинаковая сходимость</t>
  </si>
  <si>
    <t xml:space="preserve">6 – тики, комментарии, решения для разных сеток на рис.6.1, нет оптимизации</t>
  </si>
  <si>
    <t xml:space="preserve">7 – тики, нет комментариев</t>
  </si>
  <si>
    <t xml:space="preserve">8 – тики, нет комментариев</t>
  </si>
  <si>
    <t xml:space="preserve">9 – нет комметнариев</t>
  </si>
  <si>
    <t xml:space="preserve">10 – нет годунова, тики</t>
  </si>
  <si>
    <t xml:space="preserve">2 – тики, чужой рис. 3., нет вывода по п.5</t>
  </si>
  <si>
    <t xml:space="preserve">3- должно быть 4 графика на рис.7, нет графика с учётом лог. Особенности в 2Д</t>
  </si>
  <si>
    <t xml:space="preserve">5 – вывод по линейной геометрии и второму порядку сомнителен</t>
  </si>
  <si>
    <t xml:space="preserve">6-- чужой рисунок 18. Нет вывода по оптимизации</t>
  </si>
  <si>
    <t xml:space="preserve">7 – тики</t>
  </si>
  <si>
    <t xml:space="preserve">8 – чужие рисунки</t>
  </si>
  <si>
    <t xml:space="preserve">9 – нет выводов по п.1, странное поведение решения на рис.28</t>
  </si>
  <si>
    <t xml:space="preserve">2 – непонятен рис.6</t>
  </si>
  <si>
    <t xml:space="preserve">3 – подписсь к рис.11 непонятна. И вроде дб 4 графика</t>
  </si>
  <si>
    <t xml:space="preserve">5 – вывод из рис.22 сомнителен</t>
  </si>
  <si>
    <t xml:space="preserve">6 – недоделан</t>
  </si>
  <si>
    <t xml:space="preserve">7 – нет графикво сходимости по п.1,2, нет ссылок на рисунки</t>
  </si>
  <si>
    <t xml:space="preserve">8 – нет картинок с решением</t>
  </si>
  <si>
    <t xml:space="preserve">10 нет годунова, нет сходимости</t>
  </si>
  <si>
    <t xml:space="preserve">Чужие рисунки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</si>
</sst>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#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2A6099"/>
        <bgColor rgb="FF666699"/>
      </patternFill>
    </fill>
    <fill>
      <patternFill patternType="solid">
        <fgColor rgb="FFF7D1D5"/>
        <bgColor rgb="FFCCCCCC"/>
      </patternFill>
    </fill>
    <fill>
      <patternFill patternType="solid">
        <fgColor rgb="FFFFFF3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6" activeCellId="0" sqref="Q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19"/>
    <col collapsed="false" customWidth="true" hidden="false" outlineLevel="0" max="2" min="2" style="1" width="16.69"/>
    <col collapsed="false" customWidth="true" hidden="false" outlineLevel="0" max="3" min="3" style="1" width="13.07"/>
    <col collapsed="false" customWidth="true" hidden="false" outlineLevel="0" max="13" min="4" style="1" width="4.87"/>
    <col collapsed="false" customWidth="true" hidden="false" outlineLevel="0" max="14" min="14" style="1" width="17.85"/>
    <col collapsed="false" customWidth="true" hidden="false" outlineLevel="0" max="15" min="15" style="1" width="14.79"/>
    <col collapsed="false" customWidth="true" hidden="false" outlineLevel="0" max="16" min="16" style="1" width="12.7"/>
    <col collapsed="false" customWidth="true" hidden="false" outlineLevel="0" max="17" min="17" style="1" width="10.2"/>
    <col collapsed="false" customWidth="true" hidden="false" outlineLevel="0" max="18" min="18" style="1" width="10.06"/>
    <col collapsed="false" customWidth="true" hidden="false" outlineLevel="0" max="19" min="19" style="1" width="11.03"/>
    <col collapsed="false" customWidth="false" hidden="false" outlineLevel="0" max="16384" min="20" style="1" width="11.53"/>
  </cols>
  <sheetData>
    <row r="1" customFormat="false" ht="12.8" hidden="false" customHeight="false" outlineLevel="0" collapsed="false">
      <c r="A1" s="2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5" t="s">
        <v>1</v>
      </c>
      <c r="O1" s="5"/>
      <c r="P1" s="5"/>
      <c r="Q1" s="5"/>
      <c r="R1" s="5"/>
      <c r="S1" s="5"/>
    </row>
    <row r="2" customFormat="false" ht="12.8" hidden="false" customHeight="false" outlineLevel="0" collapsed="false">
      <c r="A2" s="2"/>
      <c r="B2" s="3" t="s">
        <v>2</v>
      </c>
      <c r="C2" s="3" t="s">
        <v>3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6" t="s">
        <v>4</v>
      </c>
      <c r="O2" s="6" t="s">
        <v>5</v>
      </c>
      <c r="P2" s="6" t="s">
        <v>6</v>
      </c>
      <c r="Q2" s="6" t="s">
        <v>7</v>
      </c>
      <c r="R2" s="6" t="s">
        <v>8</v>
      </c>
      <c r="S2" s="6" t="s">
        <v>9</v>
      </c>
    </row>
    <row r="3" customFormat="false" ht="12.8" hidden="false" customHeight="false" outlineLevel="0" collapsed="false">
      <c r="A3" s="7" t="s">
        <v>10</v>
      </c>
      <c r="B3" s="7" t="n">
        <v>2</v>
      </c>
      <c r="C3" s="7" t="n">
        <v>1</v>
      </c>
      <c r="D3" s="7" t="n">
        <v>10</v>
      </c>
      <c r="E3" s="7" t="n">
        <v>6</v>
      </c>
      <c r="F3" s="7" t="n">
        <v>8</v>
      </c>
      <c r="G3" s="7" t="n">
        <v>10</v>
      </c>
      <c r="H3" s="7" t="n">
        <v>8</v>
      </c>
      <c r="I3" s="7" t="n">
        <v>6</v>
      </c>
      <c r="J3" s="7" t="n">
        <v>9</v>
      </c>
      <c r="K3" s="7" t="n">
        <v>6</v>
      </c>
      <c r="L3" s="7" t="n">
        <v>7</v>
      </c>
      <c r="M3" s="7" t="n">
        <v>6</v>
      </c>
      <c r="N3" s="7" t="n">
        <f aca="false">(15 - B3)/15*10</f>
        <v>8.66666666666667</v>
      </c>
      <c r="O3" s="7" t="n">
        <v>9</v>
      </c>
      <c r="P3" s="7" t="n">
        <f aca="false">C3*10</f>
        <v>10</v>
      </c>
      <c r="Q3" s="7" t="n">
        <f aca="false">SUM(D3:M3)/100*30</f>
        <v>22.8</v>
      </c>
      <c r="R3" s="7" t="n">
        <v>40</v>
      </c>
      <c r="S3" s="7" t="n">
        <f aca="false">SUM(N3:R3)</f>
        <v>90.4666666666667</v>
      </c>
    </row>
    <row r="4" customFormat="false" ht="12.8" hidden="false" customHeight="false" outlineLevel="0" collapsed="false">
      <c r="A4" s="8" t="s">
        <v>11</v>
      </c>
      <c r="B4" s="8" t="n">
        <v>0</v>
      </c>
      <c r="C4" s="8" t="n">
        <v>2</v>
      </c>
      <c r="D4" s="8" t="n">
        <v>10</v>
      </c>
      <c r="E4" s="8" t="n">
        <v>8</v>
      </c>
      <c r="F4" s="8" t="n">
        <v>10</v>
      </c>
      <c r="G4" s="8" t="n">
        <v>10</v>
      </c>
      <c r="H4" s="8" t="n">
        <v>10</v>
      </c>
      <c r="I4" s="8" t="n">
        <v>10</v>
      </c>
      <c r="J4" s="8" t="n">
        <v>10</v>
      </c>
      <c r="K4" s="8" t="n">
        <v>9</v>
      </c>
      <c r="L4" s="8" t="n">
        <v>7</v>
      </c>
      <c r="M4" s="8" t="n">
        <v>10</v>
      </c>
      <c r="N4" s="8" t="n">
        <f aca="false">(15 - B4)/15*10</f>
        <v>10</v>
      </c>
      <c r="O4" s="8" t="n">
        <v>10</v>
      </c>
      <c r="P4" s="8" t="n">
        <f aca="false">C4*10</f>
        <v>20</v>
      </c>
      <c r="Q4" s="8" t="n">
        <f aca="false">SUM(D4:M4)/100*30</f>
        <v>28.2</v>
      </c>
      <c r="R4" s="8" t="n">
        <v>40</v>
      </c>
      <c r="S4" s="8" t="n">
        <f aca="false">SUM(N4:R4)</f>
        <v>108.2</v>
      </c>
    </row>
    <row r="5" customFormat="false" ht="12.8" hidden="false" customHeight="false" outlineLevel="0" collapsed="false">
      <c r="A5" s="1" t="s">
        <v>12</v>
      </c>
      <c r="B5" s="1" t="n">
        <v>2</v>
      </c>
      <c r="C5" s="1" t="n">
        <v>0</v>
      </c>
      <c r="N5" s="1" t="n">
        <f aca="false">(15 - B5)/15*10</f>
        <v>8.66666666666667</v>
      </c>
      <c r="O5" s="1" t="n">
        <v>5</v>
      </c>
      <c r="P5" s="1" t="n">
        <f aca="false">C5*10</f>
        <v>0</v>
      </c>
      <c r="Q5" s="1" t="n">
        <f aca="false">SUM(D5:M5)/100*30</f>
        <v>0</v>
      </c>
      <c r="S5" s="1" t="n">
        <f aca="false">SUM(N5:R5)</f>
        <v>13.6666666666667</v>
      </c>
    </row>
    <row r="6" customFormat="false" ht="12.8" hidden="false" customHeight="false" outlineLevel="0" collapsed="false">
      <c r="A6" s="7" t="s">
        <v>13</v>
      </c>
      <c r="B6" s="7" t="n">
        <v>1.5</v>
      </c>
      <c r="C6" s="7" t="n">
        <v>2</v>
      </c>
      <c r="D6" s="7" t="n">
        <v>5</v>
      </c>
      <c r="E6" s="7" t="n">
        <v>8</v>
      </c>
      <c r="F6" s="7" t="n">
        <v>7</v>
      </c>
      <c r="G6" s="7" t="n">
        <v>8</v>
      </c>
      <c r="H6" s="7" t="n">
        <v>5</v>
      </c>
      <c r="I6" s="7" t="n">
        <v>4</v>
      </c>
      <c r="J6" s="7" t="n">
        <v>7</v>
      </c>
      <c r="K6" s="7" t="n">
        <v>7</v>
      </c>
      <c r="L6" s="7" t="n">
        <v>7</v>
      </c>
      <c r="M6" s="7" t="n">
        <v>6</v>
      </c>
      <c r="N6" s="7" t="n">
        <f aca="false">(15 - B6)/15*10</f>
        <v>9</v>
      </c>
      <c r="O6" s="7" t="n">
        <v>10</v>
      </c>
      <c r="P6" s="7" t="n">
        <f aca="false">C6*10</f>
        <v>20</v>
      </c>
      <c r="Q6" s="7" t="n">
        <f aca="false">SUM(D6:M6)/100*30</f>
        <v>19.2</v>
      </c>
      <c r="R6" s="7" t="n">
        <v>35</v>
      </c>
      <c r="S6" s="7" t="n">
        <f aca="false">SUM(N6:R6)</f>
        <v>93.2</v>
      </c>
    </row>
    <row r="7" customFormat="false" ht="12.8" hidden="false" customHeight="false" outlineLevel="0" collapsed="false">
      <c r="A7" s="1" t="s">
        <v>14</v>
      </c>
      <c r="B7" s="1" t="n">
        <v>3</v>
      </c>
      <c r="C7" s="1" t="n">
        <v>0</v>
      </c>
      <c r="N7" s="1" t="n">
        <f aca="false">(15 - B7)/15*10</f>
        <v>8</v>
      </c>
      <c r="O7" s="1" t="n">
        <v>2</v>
      </c>
      <c r="P7" s="1" t="n">
        <f aca="false">C7*10</f>
        <v>0</v>
      </c>
      <c r="Q7" s="1" t="n">
        <f aca="false">SUM(D7:M7)/100*30</f>
        <v>0</v>
      </c>
      <c r="S7" s="1" t="n">
        <f aca="false">SUM(N7:R7)</f>
        <v>10</v>
      </c>
    </row>
    <row r="8" customFormat="false" ht="12.8" hidden="false" customHeight="false" outlineLevel="0" collapsed="false">
      <c r="A8" s="7" t="s">
        <v>15</v>
      </c>
      <c r="B8" s="7" t="n">
        <v>2.5</v>
      </c>
      <c r="C8" s="7" t="n">
        <v>1</v>
      </c>
      <c r="D8" s="7" t="n">
        <v>10</v>
      </c>
      <c r="E8" s="7" t="n">
        <v>9</v>
      </c>
      <c r="F8" s="7" t="n">
        <v>9</v>
      </c>
      <c r="G8" s="7" t="n">
        <v>10</v>
      </c>
      <c r="H8" s="7" t="n">
        <v>9</v>
      </c>
      <c r="I8" s="7" t="n">
        <v>8</v>
      </c>
      <c r="J8" s="7" t="n">
        <v>7</v>
      </c>
      <c r="K8" s="7" t="n">
        <v>8</v>
      </c>
      <c r="L8" s="7" t="n">
        <v>7</v>
      </c>
      <c r="M8" s="7" t="n">
        <v>5</v>
      </c>
      <c r="N8" s="7" t="n">
        <f aca="false">(15 - B8)/15*10</f>
        <v>8.33333333333333</v>
      </c>
      <c r="O8" s="7" t="n">
        <v>4</v>
      </c>
      <c r="P8" s="7" t="n">
        <f aca="false">C8*10</f>
        <v>10</v>
      </c>
      <c r="Q8" s="7" t="n">
        <f aca="false">SUM(D8:M8)/100*30*0.8</f>
        <v>19.68</v>
      </c>
      <c r="R8" s="7" t="n">
        <v>25</v>
      </c>
      <c r="S8" s="7" t="n">
        <f aca="false">SUM(N8:R8)</f>
        <v>67.0133333333333</v>
      </c>
    </row>
    <row r="9" customFormat="false" ht="12.8" hidden="false" customHeight="false" outlineLevel="0" collapsed="false">
      <c r="A9" s="1" t="s">
        <v>16</v>
      </c>
      <c r="B9" s="1" t="n">
        <v>3</v>
      </c>
      <c r="C9" s="1" t="n">
        <v>1</v>
      </c>
      <c r="D9" s="1" t="n">
        <v>2</v>
      </c>
      <c r="E9" s="1" t="n">
        <v>2</v>
      </c>
      <c r="F9" s="1" t="n">
        <v>3</v>
      </c>
      <c r="G9" s="1" t="n">
        <v>2</v>
      </c>
      <c r="H9" s="1" t="n">
        <v>2</v>
      </c>
      <c r="I9" s="1" t="n">
        <v>3</v>
      </c>
      <c r="J9" s="1" t="n">
        <v>2</v>
      </c>
      <c r="K9" s="1" t="n">
        <v>2</v>
      </c>
      <c r="L9" s="1" t="n">
        <v>2</v>
      </c>
      <c r="M9" s="1" t="n">
        <v>2</v>
      </c>
      <c r="N9" s="1" t="n">
        <f aca="false">(15 - B9)/15*10</f>
        <v>8</v>
      </c>
      <c r="O9" s="1" t="n">
        <v>4</v>
      </c>
      <c r="P9" s="1" t="n">
        <f aca="false">C9*10</f>
        <v>10</v>
      </c>
      <c r="Q9" s="1" t="n">
        <f aca="false">SUM(D9:M9)/100*30*3</f>
        <v>19.8</v>
      </c>
      <c r="R9" s="1" t="n">
        <v>25</v>
      </c>
      <c r="S9" s="1" t="n">
        <f aca="false">SUM(N9:R9)</f>
        <v>66.8</v>
      </c>
    </row>
    <row r="10" customFormat="false" ht="12.8" hidden="false" customHeight="false" outlineLevel="0" collapsed="false">
      <c r="A10" s="8" t="s">
        <v>17</v>
      </c>
      <c r="B10" s="8" t="n">
        <v>0</v>
      </c>
      <c r="C10" s="8" t="n">
        <v>1</v>
      </c>
      <c r="D10" s="8" t="n">
        <v>10</v>
      </c>
      <c r="E10" s="8" t="n">
        <v>7</v>
      </c>
      <c r="F10" s="8" t="n">
        <v>6</v>
      </c>
      <c r="G10" s="8" t="n">
        <v>10</v>
      </c>
      <c r="H10" s="8" t="n">
        <v>10</v>
      </c>
      <c r="I10" s="8" t="n">
        <v>9</v>
      </c>
      <c r="J10" s="8" t="n">
        <v>9</v>
      </c>
      <c r="K10" s="8" t="n">
        <v>9</v>
      </c>
      <c r="L10" s="8" t="n">
        <v>7</v>
      </c>
      <c r="M10" s="8" t="n">
        <v>10</v>
      </c>
      <c r="N10" s="8" t="n">
        <f aca="false">(15 - B10)/15*10</f>
        <v>10</v>
      </c>
      <c r="O10" s="8" t="n">
        <v>9</v>
      </c>
      <c r="P10" s="8" t="n">
        <f aca="false">C10*10</f>
        <v>10</v>
      </c>
      <c r="Q10" s="8" t="n">
        <f aca="false">SUM(D10:M10)/100*30</f>
        <v>26.1</v>
      </c>
      <c r="R10" s="8" t="n">
        <v>40</v>
      </c>
      <c r="S10" s="8" t="n">
        <f aca="false">SUM(N10:R10)</f>
        <v>95.1</v>
      </c>
    </row>
    <row r="11" customFormat="false" ht="12.8" hidden="false" customHeight="false" outlineLevel="0" collapsed="false">
      <c r="A11" s="8" t="s">
        <v>18</v>
      </c>
      <c r="B11" s="8" t="n">
        <v>0</v>
      </c>
      <c r="C11" s="8" t="n">
        <v>2</v>
      </c>
      <c r="D11" s="8" t="n">
        <v>10</v>
      </c>
      <c r="E11" s="8" t="n">
        <v>10</v>
      </c>
      <c r="F11" s="8" t="n">
        <v>8</v>
      </c>
      <c r="G11" s="8" t="n">
        <v>10</v>
      </c>
      <c r="H11" s="8" t="n">
        <v>10</v>
      </c>
      <c r="I11" s="8" t="n">
        <v>10</v>
      </c>
      <c r="J11" s="8" t="n">
        <v>10</v>
      </c>
      <c r="K11" s="8" t="n">
        <v>10</v>
      </c>
      <c r="L11" s="8" t="n">
        <v>10</v>
      </c>
      <c r="M11" s="8" t="n">
        <v>8</v>
      </c>
      <c r="N11" s="8" t="n">
        <f aca="false">(15 - B11)/15*10</f>
        <v>10</v>
      </c>
      <c r="O11" s="8" t="n">
        <v>10</v>
      </c>
      <c r="P11" s="8" t="n">
        <f aca="false">C11*10</f>
        <v>20</v>
      </c>
      <c r="Q11" s="8" t="n">
        <f aca="false">SUM(D11:M11)/100*30</f>
        <v>28.8</v>
      </c>
      <c r="R11" s="8" t="n">
        <v>40</v>
      </c>
      <c r="S11" s="8" t="n">
        <f aca="false">SUM(N11:R11)</f>
        <v>108.8</v>
      </c>
    </row>
    <row r="12" customFormat="false" ht="12.8" hidden="false" customHeight="false" outlineLevel="0" collapsed="false">
      <c r="A12" s="1" t="s">
        <v>19</v>
      </c>
      <c r="B12" s="1" t="n">
        <v>14</v>
      </c>
      <c r="C12" s="1" t="n">
        <v>0</v>
      </c>
      <c r="N12" s="1" t="n">
        <f aca="false">(15 - B12)/15*10</f>
        <v>0.666666666666667</v>
      </c>
      <c r="O12" s="1" t="n">
        <v>0</v>
      </c>
      <c r="P12" s="1" t="n">
        <f aca="false">C12*10</f>
        <v>0</v>
      </c>
      <c r="Q12" s="1" t="n">
        <f aca="false">SUM(D12:M12)/100*30</f>
        <v>0</v>
      </c>
      <c r="S12" s="1" t="n">
        <f aca="false">SUM(N12:R12)</f>
        <v>0.666666666666667</v>
      </c>
    </row>
    <row r="13" customFormat="false" ht="12.8" hidden="false" customHeight="false" outlineLevel="0" collapsed="false">
      <c r="A13" s="1" t="s">
        <v>20</v>
      </c>
      <c r="B13" s="1" t="n">
        <v>2</v>
      </c>
      <c r="C13" s="1" t="n">
        <v>0</v>
      </c>
      <c r="N13" s="1" t="n">
        <f aca="false">(15 - B13)/15*10</f>
        <v>8.66666666666667</v>
      </c>
      <c r="O13" s="1" t="n">
        <v>0</v>
      </c>
      <c r="P13" s="1" t="n">
        <f aca="false">C13*10</f>
        <v>0</v>
      </c>
      <c r="Q13" s="1" t="n">
        <f aca="false">SUM(D13:M13)/100*30</f>
        <v>0</v>
      </c>
      <c r="S13" s="1" t="n">
        <f aca="false">SUM(N13:R13)</f>
        <v>8.66666666666667</v>
      </c>
    </row>
    <row r="14" customFormat="false" ht="12.8" hidden="false" customHeight="false" outlineLevel="0" collapsed="false">
      <c r="A14" s="1" t="s">
        <v>21</v>
      </c>
      <c r="B14" s="1" t="n">
        <v>5.5</v>
      </c>
      <c r="C14" s="1" t="n">
        <v>0</v>
      </c>
      <c r="D14" s="0" t="n">
        <v>9</v>
      </c>
      <c r="E14" s="0" t="n">
        <v>9</v>
      </c>
      <c r="F14" s="0" t="n">
        <v>9</v>
      </c>
      <c r="G14" s="0" t="n">
        <v>9</v>
      </c>
      <c r="H14" s="0" t="n">
        <v>9</v>
      </c>
      <c r="I14" s="0" t="n">
        <v>9</v>
      </c>
      <c r="J14" s="0" t="n">
        <v>9</v>
      </c>
      <c r="K14" s="0"/>
      <c r="L14" s="0"/>
      <c r="M14" s="0"/>
      <c r="N14" s="1" t="n">
        <f aca="false">(15 - B14)/15*10</f>
        <v>6.33333333333333</v>
      </c>
      <c r="O14" s="1" t="n">
        <v>0</v>
      </c>
      <c r="P14" s="1" t="n">
        <f aca="false">C14*10</f>
        <v>0</v>
      </c>
      <c r="Q14" s="1" t="n">
        <f aca="false">SUM(D14:M14)/100*30</f>
        <v>18.9</v>
      </c>
      <c r="R14" s="1" t="n">
        <v>25</v>
      </c>
      <c r="S14" s="1" t="n">
        <f aca="false">SUM(N14:R14)</f>
        <v>50.2333333333333</v>
      </c>
      <c r="T14" s="1" t="n">
        <v>6</v>
      </c>
    </row>
    <row r="18" customFormat="false" ht="12.8" hidden="false" customHeight="false" outlineLevel="0" collapsed="false">
      <c r="A18" s="1" t="s">
        <v>22</v>
      </c>
    </row>
    <row r="19" customFormat="false" ht="12.8" hidden="false" customHeight="false" outlineLevel="0" collapsed="false">
      <c r="A19" s="1" t="s">
        <v>11</v>
      </c>
      <c r="B19" s="1" t="s">
        <v>23</v>
      </c>
    </row>
    <row r="20" customFormat="false" ht="12.8" hidden="false" customHeight="false" outlineLevel="0" collapsed="false">
      <c r="B20" s="1" t="s">
        <v>24</v>
      </c>
    </row>
    <row r="21" customFormat="false" ht="12.8" hidden="false" customHeight="false" outlineLevel="0" collapsed="false">
      <c r="B21" s="1" t="s">
        <v>25</v>
      </c>
    </row>
    <row r="22" customFormat="false" ht="12.8" hidden="false" customHeight="true" outlineLevel="0" collapsed="false">
      <c r="A22" s="1" t="s">
        <v>18</v>
      </c>
      <c r="B22" s="1" t="s">
        <v>26</v>
      </c>
    </row>
    <row r="23" customFormat="false" ht="12.8" hidden="false" customHeight="true" outlineLevel="0" collapsed="false">
      <c r="B23" s="1" t="s">
        <v>27</v>
      </c>
    </row>
    <row r="24" customFormat="false" ht="12.8" hidden="false" customHeight="true" outlineLevel="0" collapsed="false">
      <c r="A24" s="1" t="s">
        <v>17</v>
      </c>
      <c r="B24" s="1" t="s">
        <v>28</v>
      </c>
    </row>
    <row r="25" customFormat="false" ht="12.8" hidden="false" customHeight="true" outlineLevel="0" collapsed="false">
      <c r="B25" s="1" t="s">
        <v>26</v>
      </c>
    </row>
    <row r="26" customFormat="false" ht="12.8" hidden="false" customHeight="true" outlineLevel="0" collapsed="false">
      <c r="B26" s="1" t="s">
        <v>29</v>
      </c>
    </row>
    <row r="27" customFormat="false" ht="12.8" hidden="false" customHeight="true" outlineLevel="0" collapsed="false">
      <c r="B27" s="1" t="s">
        <v>30</v>
      </c>
    </row>
    <row r="28" customFormat="false" ht="12.8" hidden="false" customHeight="true" outlineLevel="0" collapsed="false">
      <c r="B28" s="1" t="s">
        <v>31</v>
      </c>
    </row>
    <row r="29" customFormat="false" ht="12.8" hidden="false" customHeight="true" outlineLevel="0" collapsed="false">
      <c r="B29" s="1" t="s">
        <v>32</v>
      </c>
    </row>
    <row r="30" customFormat="false" ht="12.8" hidden="false" customHeight="true" outlineLevel="0" collapsed="false">
      <c r="B30" s="1" t="s">
        <v>33</v>
      </c>
    </row>
    <row r="31" customFormat="false" ht="12.8" hidden="false" customHeight="true" outlineLevel="0" collapsed="false">
      <c r="B31" s="1" t="s">
        <v>34</v>
      </c>
    </row>
    <row r="32" customFormat="false" ht="12.8" hidden="false" customHeight="true" outlineLevel="0" collapsed="false">
      <c r="A32" s="1" t="s">
        <v>13</v>
      </c>
      <c r="B32" s="1" t="s">
        <v>35</v>
      </c>
    </row>
    <row r="33" customFormat="false" ht="12.8" hidden="false" customHeight="true" outlineLevel="0" collapsed="false">
      <c r="B33" s="1" t="s">
        <v>36</v>
      </c>
    </row>
    <row r="34" customFormat="false" ht="12.8" hidden="false" customHeight="true" outlineLevel="0" collapsed="false">
      <c r="B34" s="1" t="s">
        <v>37</v>
      </c>
    </row>
    <row r="35" customFormat="false" ht="12.8" hidden="false" customHeight="true" outlineLevel="0" collapsed="false">
      <c r="B35" s="1" t="s">
        <v>38</v>
      </c>
    </row>
    <row r="36" customFormat="false" ht="12.8" hidden="false" customHeight="true" outlineLevel="0" collapsed="false">
      <c r="B36" s="1" t="s">
        <v>39</v>
      </c>
    </row>
    <row r="37" customFormat="false" ht="12.8" hidden="false" customHeight="true" outlineLevel="0" collapsed="false">
      <c r="B37" s="1" t="s">
        <v>40</v>
      </c>
    </row>
    <row r="38" customFormat="false" ht="12.8" hidden="false" customHeight="true" outlineLevel="0" collapsed="false">
      <c r="B38" s="1" t="s">
        <v>41</v>
      </c>
    </row>
    <row r="39" customFormat="false" ht="12.8" hidden="false" customHeight="true" outlineLevel="0" collapsed="false">
      <c r="B39" s="1" t="s">
        <v>42</v>
      </c>
    </row>
    <row r="40" customFormat="false" ht="12.8" hidden="false" customHeight="true" outlineLevel="0" collapsed="false">
      <c r="B40" s="1" t="s">
        <v>43</v>
      </c>
    </row>
    <row r="41" customFormat="false" ht="12.8" hidden="false" customHeight="true" outlineLevel="0" collapsed="false">
      <c r="B41" s="1" t="s">
        <v>44</v>
      </c>
    </row>
    <row r="42" customFormat="false" ht="12.8" hidden="false" customHeight="true" outlineLevel="0" collapsed="false">
      <c r="A42" s="1" t="s">
        <v>10</v>
      </c>
      <c r="B42" s="1" t="s">
        <v>45</v>
      </c>
    </row>
    <row r="43" customFormat="false" ht="12.8" hidden="false" customHeight="true" outlineLevel="0" collapsed="false">
      <c r="B43" s="1" t="s">
        <v>46</v>
      </c>
    </row>
    <row r="44" customFormat="false" ht="12.8" hidden="false" customHeight="true" outlineLevel="0" collapsed="false">
      <c r="B44" s="1" t="s">
        <v>47</v>
      </c>
    </row>
    <row r="45" customFormat="false" ht="12.8" hidden="false" customHeight="true" outlineLevel="0" collapsed="false">
      <c r="B45" s="1" t="s">
        <v>48</v>
      </c>
    </row>
    <row r="46" customFormat="false" ht="12.8" hidden="false" customHeight="true" outlineLevel="0" collapsed="false">
      <c r="B46" s="1" t="s">
        <v>49</v>
      </c>
    </row>
    <row r="47" customFormat="false" ht="12.8" hidden="false" customHeight="true" outlineLevel="0" collapsed="false">
      <c r="B47" s="1" t="s">
        <v>50</v>
      </c>
    </row>
    <row r="48" customFormat="false" ht="12.8" hidden="false" customHeight="true" outlineLevel="0" collapsed="false">
      <c r="B48" s="1" t="s">
        <v>51</v>
      </c>
    </row>
    <row r="49" customFormat="false" ht="12.8" hidden="false" customHeight="true" outlineLevel="0" collapsed="false">
      <c r="B49" s="1" t="s">
        <v>44</v>
      </c>
    </row>
    <row r="50" customFormat="false" ht="12.8" hidden="false" customHeight="true" outlineLevel="0" collapsed="false">
      <c r="A50" s="1" t="s">
        <v>15</v>
      </c>
      <c r="B50" s="1" t="s">
        <v>52</v>
      </c>
    </row>
    <row r="51" customFormat="false" ht="12.8" hidden="false" customHeight="true" outlineLevel="0" collapsed="false">
      <c r="B51" s="1" t="s">
        <v>53</v>
      </c>
    </row>
    <row r="52" customFormat="false" ht="12.8" hidden="false" customHeight="true" outlineLevel="0" collapsed="false">
      <c r="B52" s="1" t="s">
        <v>54</v>
      </c>
    </row>
    <row r="53" customFormat="false" ht="12.8" hidden="false" customHeight="true" outlineLevel="0" collapsed="false">
      <c r="B53" s="1" t="s">
        <v>55</v>
      </c>
    </row>
    <row r="54" customFormat="false" ht="12.8" hidden="false" customHeight="true" outlineLevel="0" collapsed="false">
      <c r="B54" s="1" t="s">
        <v>56</v>
      </c>
    </row>
    <row r="55" customFormat="false" ht="12.8" hidden="false" customHeight="true" outlineLevel="0" collapsed="false">
      <c r="B55" s="1" t="s">
        <v>57</v>
      </c>
    </row>
    <row r="56" customFormat="false" ht="12.8" hidden="false" customHeight="true" outlineLevel="0" collapsed="false">
      <c r="B56" s="1" t="s">
        <v>51</v>
      </c>
    </row>
    <row r="57" customFormat="false" ht="12.8" hidden="false" customHeight="true" outlineLevel="0" collapsed="false">
      <c r="B57" s="1" t="s">
        <v>58</v>
      </c>
    </row>
    <row r="58" customFormat="false" ht="12.8" hidden="false" customHeight="true" outlineLevel="0" collapsed="false">
      <c r="A58" s="1" t="s">
        <v>16</v>
      </c>
      <c r="B58" s="1" t="s">
        <v>59</v>
      </c>
    </row>
  </sheetData>
  <mergeCells count="2">
    <mergeCell ref="D1:M1"/>
    <mergeCell ref="N1:S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935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2025-12-27T14:53:35Z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