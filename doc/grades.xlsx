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rade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<sst xmlns="http://schemas.openxmlformats.org/spreadsheetml/2006/main" count="27" uniqueCount="26">
  <si>
    <t xml:space="preserve">Оценка за задания (из 10)</t>
  </si>
  <si>
    <t xml:space="preserve">Балы</t>
  </si>
  <si>
    <t xml:space="preserve">Пропуски (из 15)</t>
  </si>
  <si>
    <t xml:space="preserve">Доклады</t>
  </si>
  <si>
    <t xml:space="preserve">Посещаемость (10)</t>
  </si>
  <si>
    <t xml:space="preserve">Активность (10)</t>
  </si>
  <si>
    <t xml:space="preserve">Доклады (10)</t>
  </si>
  <si>
    <t xml:space="preserve">Отчет (30)</t>
  </si>
  <si>
    <t xml:space="preserve">Зачет (40)</t>
  </si>
  <si>
    <t xml:space="preserve">Всего (100)</t>
  </si>
  <si>
    <t xml:space="preserve">Вашурин</t>
  </si>
  <si>
    <t xml:space="preserve">Жучков</t>
  </si>
  <si>
    <t xml:space="preserve">Земцева</t>
  </si>
  <si>
    <t xml:space="preserve">Иванушкин</t>
  </si>
  <si>
    <t xml:space="preserve">Ильина</t>
  </si>
  <si>
    <t xml:space="preserve">Каюмова</t>
  </si>
  <si>
    <t xml:space="preserve">Кокорина</t>
  </si>
  <si>
    <t xml:space="preserve">Малбаева</t>
  </si>
  <si>
    <t xml:space="preserve">Мубаракшин</t>
  </si>
  <si>
    <t xml:space="preserve">Нигматуллин</t>
  </si>
  <si>
    <t xml:space="preserve">Рахматуллина</t>
  </si>
  <si>
    <t xml:space="preserve">Романов</t>
  </si>
  <si>
    <t xml:space="preserve">Замечания по заданиям</t>
  </si>
  <si>
    <t xml:space="preserve">2 – вывод об отчётливости влияния поправки на изолинии неочевиден, нет выводов по п.4,5</t>
  </si>
  <si>
    <t xml:space="preserve">8 – не указан момент времени и размерности сеток для 2Д</t>
  </si>
  <si>
    <t xml:space="preserve">9 – результат в повышении осцилляций при применении полной диффузии сомнителен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</si>
</sst>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#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2A6099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1" activeCellId="0" sqref="11:1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19"/>
    <col collapsed="false" customWidth="true" hidden="false" outlineLevel="0" max="2" min="2" style="1" width="16.69"/>
    <col collapsed="false" customWidth="true" hidden="false" outlineLevel="0" max="3" min="3" style="1" width="13.07"/>
    <col collapsed="false" customWidth="true" hidden="false" outlineLevel="0" max="13" min="4" style="1" width="4.87"/>
    <col collapsed="false" customWidth="true" hidden="false" outlineLevel="0" max="14" min="14" style="1" width="17.85"/>
    <col collapsed="false" customWidth="true" hidden="false" outlineLevel="0" max="15" min="15" style="1" width="14.79"/>
    <col collapsed="false" customWidth="true" hidden="false" outlineLevel="0" max="16" min="16" style="1" width="12.7"/>
    <col collapsed="false" customWidth="true" hidden="false" outlineLevel="0" max="17" min="17" style="1" width="10.2"/>
    <col collapsed="false" customWidth="true" hidden="false" outlineLevel="0" max="18" min="18" style="1" width="10.06"/>
    <col collapsed="false" customWidth="true" hidden="false" outlineLevel="0" max="19" min="19" style="1" width="11.03"/>
    <col collapsed="false" customWidth="false" hidden="false" outlineLevel="0" max="16384" min="20" style="1" width="11.53"/>
  </cols>
  <sheetData>
    <row r="1" s="2" customFormat="true" ht="12.8" hidden="false" customHeight="false" outlineLevel="0" collapsed="false">
      <c r="B1" s="3"/>
      <c r="C1" s="3"/>
      <c r="D1" s="4" t="s">
        <v>0</v>
      </c>
      <c r="E1" s="4"/>
      <c r="F1" s="4"/>
      <c r="G1" s="4"/>
      <c r="H1" s="4"/>
      <c r="I1" s="4"/>
      <c r="J1" s="4"/>
      <c r="K1" s="4"/>
      <c r="L1" s="4"/>
      <c r="M1" s="4"/>
      <c r="N1" s="5" t="s">
        <v>1</v>
      </c>
      <c r="O1" s="5"/>
      <c r="P1" s="5"/>
      <c r="Q1" s="5"/>
      <c r="R1" s="5"/>
      <c r="S1" s="5"/>
    </row>
    <row r="2" s="2" customFormat="true" ht="12.8" hidden="false" customHeight="false" outlineLevel="0" collapsed="false">
      <c r="B2" s="3" t="s">
        <v>2</v>
      </c>
      <c r="C2" s="3" t="s">
        <v>3</v>
      </c>
      <c r="D2" s="3" t="n">
        <v>1</v>
      </c>
      <c r="E2" s="3" t="n">
        <v>2</v>
      </c>
      <c r="F2" s="3" t="n">
        <v>3</v>
      </c>
      <c r="G2" s="3" t="n">
        <v>4</v>
      </c>
      <c r="H2" s="3" t="n">
        <v>5</v>
      </c>
      <c r="I2" s="3" t="n">
        <v>6</v>
      </c>
      <c r="J2" s="3" t="n">
        <v>7</v>
      </c>
      <c r="K2" s="3" t="n">
        <v>8</v>
      </c>
      <c r="L2" s="3" t="n">
        <v>9</v>
      </c>
      <c r="M2" s="3" t="n">
        <v>10</v>
      </c>
      <c r="N2" s="6" t="s">
        <v>4</v>
      </c>
      <c r="O2" s="6" t="s">
        <v>5</v>
      </c>
      <c r="P2" s="6" t="s">
        <v>6</v>
      </c>
      <c r="Q2" s="6" t="s">
        <v>7</v>
      </c>
      <c r="R2" s="6" t="s">
        <v>8</v>
      </c>
      <c r="S2" s="6" t="s">
        <v>9</v>
      </c>
    </row>
    <row r="3" customFormat="false" ht="12.8" hidden="false" customHeight="false" outlineLevel="0" collapsed="false">
      <c r="A3" s="1" t="s">
        <v>10</v>
      </c>
      <c r="B3" s="1" t="n">
        <v>2</v>
      </c>
      <c r="C3" s="1" t="n">
        <v>1</v>
      </c>
      <c r="N3" s="1" t="n">
        <f aca="false">(15 - B3)/15*10</f>
        <v>8.66666666666667</v>
      </c>
      <c r="O3" s="1" t="n">
        <v>9</v>
      </c>
      <c r="P3" s="1" t="n">
        <f aca="false">C3*10</f>
        <v>10</v>
      </c>
      <c r="Q3" s="1" t="n">
        <f aca="false">SUM(D3:M3)/100*30</f>
        <v>0</v>
      </c>
      <c r="S3" s="1" t="n">
        <f aca="false">SUM(N3:R3)</f>
        <v>27.6666666666667</v>
      </c>
    </row>
    <row r="4" customFormat="false" ht="12.8" hidden="false" customHeight="false" outlineLevel="0" collapsed="false">
      <c r="A4" s="1" t="s">
        <v>11</v>
      </c>
      <c r="B4" s="1" t="n">
        <v>0</v>
      </c>
      <c r="C4" s="1" t="n">
        <v>2</v>
      </c>
      <c r="D4" s="1" t="n">
        <v>10</v>
      </c>
      <c r="E4" s="1" t="n">
        <v>8</v>
      </c>
      <c r="F4" s="1" t="n">
        <v>10</v>
      </c>
      <c r="G4" s="1" t="n">
        <v>10</v>
      </c>
      <c r="H4" s="1" t="n">
        <v>10</v>
      </c>
      <c r="I4" s="1" t="n">
        <v>10</v>
      </c>
      <c r="J4" s="1" t="n">
        <v>10</v>
      </c>
      <c r="K4" s="1" t="n">
        <v>9</v>
      </c>
      <c r="L4" s="1" t="n">
        <v>7</v>
      </c>
      <c r="M4" s="1" t="n">
        <v>10</v>
      </c>
      <c r="N4" s="1" t="n">
        <f aca="false">(15 - B4)/15*10</f>
        <v>10</v>
      </c>
      <c r="O4" s="1" t="n">
        <v>10</v>
      </c>
      <c r="P4" s="1" t="n">
        <f aca="false">C4*10</f>
        <v>20</v>
      </c>
      <c r="Q4" s="1" t="n">
        <f aca="false">SUM(D4:M4)/100*30</f>
        <v>28.2</v>
      </c>
      <c r="S4" s="1" t="n">
        <f aca="false">SUM(N4:R4)</f>
        <v>68.2</v>
      </c>
    </row>
    <row r="5" customFormat="false" ht="12.8" hidden="false" customHeight="false" outlineLevel="0" collapsed="false">
      <c r="A5" s="1" t="s">
        <v>12</v>
      </c>
      <c r="B5" s="1" t="n">
        <v>2</v>
      </c>
      <c r="C5" s="1" t="n">
        <v>0</v>
      </c>
      <c r="N5" s="1" t="n">
        <f aca="false">(15 - B5)/15*10</f>
        <v>8.66666666666667</v>
      </c>
      <c r="O5" s="1" t="n">
        <v>5</v>
      </c>
      <c r="P5" s="1" t="n">
        <f aca="false">C5*10</f>
        <v>0</v>
      </c>
      <c r="Q5" s="1" t="n">
        <f aca="false">SUM(D5:M5)/100*30</f>
        <v>0</v>
      </c>
      <c r="S5" s="1" t="n">
        <f aca="false">SUM(N5:R5)</f>
        <v>13.6666666666667</v>
      </c>
    </row>
    <row r="6" customFormat="false" ht="12.8" hidden="false" customHeight="false" outlineLevel="0" collapsed="false">
      <c r="A6" s="1" t="s">
        <v>13</v>
      </c>
      <c r="B6" s="1" t="n">
        <v>1.5</v>
      </c>
      <c r="C6" s="1" t="n">
        <v>2</v>
      </c>
      <c r="N6" s="1" t="n">
        <f aca="false">(15 - B6)/15*10</f>
        <v>9</v>
      </c>
      <c r="O6" s="1" t="n">
        <v>10</v>
      </c>
      <c r="P6" s="1" t="n">
        <f aca="false">C6*10</f>
        <v>20</v>
      </c>
      <c r="Q6" s="1" t="n">
        <f aca="false">SUM(D6:M6)/100*30</f>
        <v>0</v>
      </c>
      <c r="S6" s="1" t="n">
        <f aca="false">SUM(N6:R6)</f>
        <v>39</v>
      </c>
    </row>
    <row r="7" customFormat="false" ht="12.8" hidden="false" customHeight="false" outlineLevel="0" collapsed="false">
      <c r="A7" s="1" t="s">
        <v>14</v>
      </c>
      <c r="B7" s="1" t="n">
        <v>3</v>
      </c>
      <c r="C7" s="1" t="n">
        <v>0</v>
      </c>
      <c r="N7" s="1" t="n">
        <f aca="false">(15 - B7)/15*10</f>
        <v>8</v>
      </c>
      <c r="O7" s="1" t="n">
        <v>2</v>
      </c>
      <c r="P7" s="1" t="n">
        <f aca="false">C7*10</f>
        <v>0</v>
      </c>
      <c r="Q7" s="1" t="n">
        <f aca="false">SUM(D7:M7)/100*30</f>
        <v>0</v>
      </c>
      <c r="S7" s="1" t="n">
        <f aca="false">SUM(N7:R7)</f>
        <v>10</v>
      </c>
    </row>
    <row r="8" customFormat="false" ht="12.8" hidden="false" customHeight="false" outlineLevel="0" collapsed="false">
      <c r="A8" s="1" t="s">
        <v>15</v>
      </c>
      <c r="B8" s="1" t="n">
        <v>2.5</v>
      </c>
      <c r="C8" s="1" t="n">
        <v>1</v>
      </c>
      <c r="N8" s="1" t="n">
        <f aca="false">(15 - B8)/15*10</f>
        <v>8.33333333333333</v>
      </c>
      <c r="O8" s="1" t="n">
        <v>4</v>
      </c>
      <c r="P8" s="1" t="n">
        <f aca="false">C8*10</f>
        <v>10</v>
      </c>
      <c r="Q8" s="1" t="n">
        <f aca="false">SUM(D8:M8)/100*30</f>
        <v>0</v>
      </c>
      <c r="S8" s="1" t="n">
        <f aca="false">SUM(N8:R8)</f>
        <v>22.3333333333333</v>
      </c>
    </row>
    <row r="9" customFormat="false" ht="12.8" hidden="false" customHeight="false" outlineLevel="0" collapsed="false">
      <c r="A9" s="1" t="s">
        <v>16</v>
      </c>
      <c r="B9" s="1" t="n">
        <v>3</v>
      </c>
      <c r="C9" s="1" t="n">
        <v>1</v>
      </c>
      <c r="N9" s="1" t="n">
        <f aca="false">(15 - B9)/15*10</f>
        <v>8</v>
      </c>
      <c r="O9" s="1" t="n">
        <v>4</v>
      </c>
      <c r="P9" s="1" t="n">
        <f aca="false">C9*10</f>
        <v>10</v>
      </c>
      <c r="Q9" s="1" t="n">
        <f aca="false">SUM(D9:M9)/100*30</f>
        <v>0</v>
      </c>
      <c r="S9" s="1" t="n">
        <f aca="false">SUM(N9:R9)</f>
        <v>22</v>
      </c>
    </row>
    <row r="10" customFormat="false" ht="12.8" hidden="false" customHeight="false" outlineLevel="0" collapsed="false">
      <c r="A10" s="1" t="s">
        <v>17</v>
      </c>
      <c r="B10" s="1" t="n">
        <v>0</v>
      </c>
      <c r="C10" s="1" t="n">
        <v>1</v>
      </c>
      <c r="N10" s="1" t="n">
        <f aca="false">(15 - B10)/15*10</f>
        <v>10</v>
      </c>
      <c r="O10" s="1" t="n">
        <v>9</v>
      </c>
      <c r="P10" s="1" t="n">
        <f aca="false">C10*10</f>
        <v>10</v>
      </c>
      <c r="Q10" s="1" t="n">
        <f aca="false">SUM(D10:M10)/100*30</f>
        <v>0</v>
      </c>
      <c r="S10" s="1" t="n">
        <f aca="false">SUM(N10:R10)</f>
        <v>29</v>
      </c>
    </row>
    <row r="11" customFormat="false" ht="12.8" hidden="false" customHeight="false" outlineLevel="0" collapsed="false">
      <c r="A11" s="1" t="s">
        <v>18</v>
      </c>
      <c r="B11" s="1" t="n">
        <v>0</v>
      </c>
      <c r="C11" s="1" t="n">
        <v>2</v>
      </c>
      <c r="N11" s="1" t="n">
        <f aca="false">(15 - B11)/15*10</f>
        <v>10</v>
      </c>
      <c r="O11" s="1" t="n">
        <v>10</v>
      </c>
      <c r="P11" s="1" t="n">
        <f aca="false">C11*10</f>
        <v>20</v>
      </c>
      <c r="Q11" s="1" t="n">
        <f aca="false">SUM(D11:M11)/100*30</f>
        <v>0</v>
      </c>
      <c r="S11" s="1" t="n">
        <f aca="false">SUM(N11:R11)</f>
        <v>40</v>
      </c>
    </row>
    <row r="12" customFormat="false" ht="12.8" hidden="false" customHeight="false" outlineLevel="0" collapsed="false">
      <c r="A12" s="1" t="s">
        <v>19</v>
      </c>
      <c r="B12" s="1" t="n">
        <v>14</v>
      </c>
      <c r="C12" s="1" t="n">
        <v>0</v>
      </c>
      <c r="N12" s="1" t="n">
        <f aca="false">(15 - B12)/15*10</f>
        <v>0.666666666666667</v>
      </c>
      <c r="O12" s="1" t="n">
        <v>0</v>
      </c>
      <c r="P12" s="1" t="n">
        <f aca="false">C12*10</f>
        <v>0</v>
      </c>
      <c r="Q12" s="1" t="n">
        <f aca="false">SUM(D12:M12)/100*30</f>
        <v>0</v>
      </c>
      <c r="S12" s="1" t="n">
        <f aca="false">SUM(N12:R12)</f>
        <v>0.666666666666667</v>
      </c>
    </row>
    <row r="13" customFormat="false" ht="12.8" hidden="false" customHeight="false" outlineLevel="0" collapsed="false">
      <c r="A13" s="1" t="s">
        <v>20</v>
      </c>
      <c r="B13" s="1" t="n">
        <v>2</v>
      </c>
      <c r="C13" s="1" t="n">
        <v>0</v>
      </c>
      <c r="N13" s="1" t="n">
        <f aca="false">(15 - B13)/15*10</f>
        <v>8.66666666666667</v>
      </c>
      <c r="O13" s="1" t="n">
        <v>0</v>
      </c>
      <c r="P13" s="1" t="n">
        <f aca="false">C13*10</f>
        <v>0</v>
      </c>
      <c r="Q13" s="1" t="n">
        <f aca="false">SUM(D13:M13)/100*30</f>
        <v>0</v>
      </c>
      <c r="S13" s="1" t="n">
        <f aca="false">SUM(N13:R13)</f>
        <v>8.66666666666667</v>
      </c>
    </row>
    <row r="14" customFormat="false" ht="12.8" hidden="false" customHeight="false" outlineLevel="0" collapsed="false">
      <c r="A14" s="1" t="s">
        <v>21</v>
      </c>
      <c r="B14" s="1" t="n">
        <v>5.5</v>
      </c>
      <c r="C14" s="1" t="n">
        <v>0</v>
      </c>
      <c r="N14" s="1" t="n">
        <f aca="false">(15 - B14)/15*10</f>
        <v>6.33333333333333</v>
      </c>
      <c r="O14" s="1" t="n">
        <v>0</v>
      </c>
      <c r="P14" s="1" t="n">
        <f aca="false">C14*10</f>
        <v>0</v>
      </c>
      <c r="Q14" s="1" t="n">
        <f aca="false">SUM(D14:M14)/100*30</f>
        <v>0</v>
      </c>
      <c r="S14" s="1" t="n">
        <f aca="false">SUM(N14:R14)</f>
        <v>6.33333333333333</v>
      </c>
    </row>
    <row r="18" customFormat="false" ht="12.8" hidden="false" customHeight="false" outlineLevel="0" collapsed="false">
      <c r="A18" s="1" t="s">
        <v>22</v>
      </c>
    </row>
    <row r="19" customFormat="false" ht="12.8" hidden="false" customHeight="false" outlineLevel="0" collapsed="false">
      <c r="A19" s="1" t="s">
        <v>11</v>
      </c>
      <c r="B19" s="1" t="s">
        <v>23</v>
      </c>
    </row>
    <row r="20" customFormat="false" ht="12.8" hidden="false" customHeight="false" outlineLevel="0" collapsed="false">
      <c r="B20" s="1" t="s">
        <v>24</v>
      </c>
    </row>
    <row r="21" customFormat="false" ht="12.8" hidden="false" customHeight="false" outlineLevel="0" collapsed="false">
      <c r="B21" s="1" t="s">
        <v>25</v>
      </c>
    </row>
  </sheetData>
  <mergeCells count="2">
    <mergeCell ref="D1:M1"/>
    <mergeCell ref="N1:S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2025-12-22T21:12:41Z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